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PowerFlow/"/>
    </mc:Choice>
  </mc:AlternateContent>
  <xr:revisionPtr revIDLastSave="115" documentId="11_C8E27E27A03CF8977294186C883E5E837214CB19" xr6:coauthVersionLast="47" xr6:coauthVersionMax="47" xr10:uidLastSave="{E6F5CE6A-26E2-495E-8DF3-CA41B3C5708F}"/>
  <workbookProtection lockStructure="1" lockWindows="1"/>
  <bookViews>
    <workbookView xWindow="3405" yWindow="420" windowWidth="21750" windowHeight="9675" xr2:uid="{00000000-000D-0000-FFFF-FFFF00000000}"/>
  </bookViews>
  <sheets>
    <sheet name="Sheet" sheetId="1" r:id="rId1"/>
  </sheets>
  <definedNames>
    <definedName name="Alphaj2">Sheet!$C$7</definedName>
    <definedName name="Pi">Sheet!$C$2</definedName>
    <definedName name="_xlnm.Print_Area" localSheetId="0">Sheet!$A$1:$I$13</definedName>
    <definedName name="Qi">Sheet!$C$3</definedName>
    <definedName name="R_">Sheet!$C$4</definedName>
    <definedName name="Rhoj2">Sheet!$C$6</definedName>
    <definedName name="Thetaj">Sheet!$C$9</definedName>
    <definedName name="Uj">Sheet!$C$8</definedName>
    <definedName name="X_">Sheet!$C$5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5" i="1"/>
  <c r="C6" i="1"/>
  <c r="H3" i="1"/>
  <c r="H2" i="1"/>
  <c r="H6" i="1" l="1"/>
  <c r="H4" i="1" l="1"/>
  <c r="H9" i="1" s="1"/>
  <c r="H10" i="1" s="1"/>
</calcChain>
</file>

<file path=xl/sharedStrings.xml><?xml version="1.0" encoding="utf-8"?>
<sst xmlns="http://schemas.openxmlformats.org/spreadsheetml/2006/main" count="58" uniqueCount="39">
  <si>
    <t>R</t>
  </si>
  <si>
    <t>X</t>
  </si>
  <si>
    <t>Y</t>
  </si>
  <si>
    <t>A</t>
  </si>
  <si>
    <t>B</t>
  </si>
  <si>
    <t>C</t>
  </si>
  <si>
    <t>MW</t>
  </si>
  <si>
    <t>MVAR</t>
  </si>
  <si>
    <t>Ω</t>
  </si>
  <si>
    <t>°</t>
  </si>
  <si>
    <t>kV</t>
  </si>
  <si>
    <t>rad</t>
  </si>
  <si>
    <t>1/Ω</t>
  </si>
  <si>
    <t>D</t>
  </si>
  <si>
    <t>E</t>
  </si>
  <si>
    <t>δ</t>
  </si>
  <si>
    <r>
      <t>ρ</t>
    </r>
    <r>
      <rPr>
        <vertAlign val="subscript"/>
        <sz val="11"/>
        <color theme="1"/>
        <rFont val="Calibri"/>
        <family val="2"/>
        <scheme val="minor"/>
      </rPr>
      <t>j2</t>
    </r>
  </si>
  <si>
    <r>
      <t>α</t>
    </r>
    <r>
      <rPr>
        <vertAlign val="subscript"/>
        <sz val="11"/>
        <color theme="1"/>
        <rFont val="Calibri"/>
        <family val="2"/>
        <scheme val="minor"/>
      </rPr>
      <t>j2</t>
    </r>
  </si>
  <si>
    <r>
      <t>θ</t>
    </r>
    <r>
      <rPr>
        <vertAlign val="subscript"/>
        <sz val="11"/>
        <color theme="1"/>
        <rFont val="Calibri"/>
        <family val="2"/>
        <scheme val="minor"/>
      </rPr>
      <t>j</t>
    </r>
  </si>
  <si>
    <r>
      <t>U</t>
    </r>
    <r>
      <rPr>
        <vertAlign val="subscript"/>
        <sz val="11"/>
        <color theme="1"/>
        <rFont val="Calibri"/>
        <family val="2"/>
        <scheme val="minor"/>
      </rPr>
      <t>j</t>
    </r>
  </si>
  <si>
    <r>
      <t>U</t>
    </r>
    <r>
      <rPr>
        <vertAlign val="subscript"/>
        <sz val="11"/>
        <color theme="1"/>
        <rFont val="Calibri"/>
        <family val="2"/>
        <scheme val="minor"/>
      </rPr>
      <t>i</t>
    </r>
  </si>
  <si>
    <r>
      <t>θ</t>
    </r>
    <r>
      <rPr>
        <vertAlign val="subscript"/>
        <sz val="11"/>
        <color theme="1"/>
        <rFont val="Calibri"/>
        <family val="2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</si>
  <si>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</si>
  <si>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vertAlign val="subscript"/>
        <sz val="11"/>
        <color theme="1"/>
        <rFont val="Calibri"/>
        <family val="2"/>
        <scheme val="minor"/>
      </rPr>
      <t>i</t>
    </r>
  </si>
  <si>
    <t>Ø</t>
  </si>
  <si>
    <t>Value</t>
  </si>
  <si>
    <t>Unit</t>
  </si>
  <si>
    <t>Variable</t>
  </si>
  <si>
    <t>Load</t>
  </si>
  <si>
    <t>Branch</t>
  </si>
  <si>
    <t>Generator</t>
  </si>
  <si>
    <t>Inputs</t>
  </si>
  <si>
    <t>Outputs</t>
  </si>
  <si>
    <t>Calculation</t>
  </si>
  <si>
    <t>Column1</t>
  </si>
  <si>
    <t>Branch (PST)</t>
  </si>
  <si>
    <t>Branches (same for ACLineSegment and PST)</t>
  </si>
  <si>
    <t>Note: This equations apply to the section 4.1 "One generation, one load, two similar branches" in the document</t>
  </si>
  <si>
    <t>Follows generation convension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</si>
</sst>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2" fillId="0" borderId="0" xfId="0" applyFont="1"/>
    <xf numFmtId="2" fontId="4" fillId="2" borderId="0" xfId="0" applyNumberFormat="1" applyFont="1" applyFill="1"/>
    <xf numFmtId="0" fontId="4" fillId="2" borderId="0" xfId="0" applyFont="1" applyFill="1"/>
    <xf numFmtId="2" fontId="0" fillId="0" borderId="0" xfId="0" applyNumberFormat="1"/>
    <xf numFmtId="2" fontId="0" fillId="3" borderId="0" xfId="0" applyNumberFormat="1" applyFill="1" applyProtection="1">
      <protection locked="0"/>
    </xf>
    <xf numFmtId="165" fontId="0" fillId="3" borderId="0" xfId="0" applyNumberFormat="1" applyFill="1" applyProtection="1">
      <protection locked="0"/>
    </xf>
    <xf numFmtId="0" fontId="0" fillId="3" borderId="1" xfId="0" applyNumberFormat="1" applyFont="1" applyFill="1" applyBorder="1"/>
    <xf numFmtId="164" fontId="0" fillId="3" borderId="1" xfId="0" applyNumberFormat="1" applyFont="1" applyFill="1" applyBorder="1"/>
    <xf numFmtId="0" fontId="0" fillId="0" borderId="0" xfId="0" applyNumberFormat="1" applyFill="1"/>
    <xf numFmtId="0" fontId="0" fillId="0" borderId="1" xfId="0" applyNumberFormat="1" applyFont="1" applyFill="1" applyBorder="1"/>
    <xf numFmtId="164" fontId="0" fillId="0" borderId="1" xfId="0" applyNumberFormat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4">
    <dxf>
      <alignment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0"/>
    </dxf>
    <dxf>
      <numFmt numFmtId="0" formatCode="General"/>
      <fill>
        <patternFill patternType="solid">
          <fgColor indexed="64"/>
          <bgColor theme="0" tint="-0.14999847407452621"/>
        </patternFill>
      </fill>
      <protection locked="0" hidden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9" totalsRowShown="0">
  <autoFilter ref="A1:E9" xr:uid="{00000000-0009-0000-0100-000001000000}"/>
  <tableColumns count="5">
    <tableColumn id="1" xr3:uid="{00000000-0010-0000-0000-000001000000}" name="Inputs" dataDxfId="1"/>
    <tableColumn id="2" xr3:uid="{00000000-0010-0000-0000-000002000000}" name="Variable"/>
    <tableColumn id="3" xr3:uid="{00000000-0010-0000-0000-000003000000}" name="Value" dataDxfId="3"/>
    <tableColumn id="4" xr3:uid="{00000000-0010-0000-0000-000004000000}" name="Unit"/>
    <tableColumn id="5" xr3:uid="{AFA19D6C-C7CA-47FD-A413-86C25D688032}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F1:I10" totalsRowShown="0">
  <autoFilter ref="F1:I10" xr:uid="{00000000-0009-0000-0100-000002000000}"/>
  <tableColumns count="4">
    <tableColumn id="1" xr3:uid="{00000000-0010-0000-0100-000001000000}" name="Outputs"/>
    <tableColumn id="2" xr3:uid="{00000000-0010-0000-0100-000002000000}" name="Variable"/>
    <tableColumn id="3" xr3:uid="{00000000-0010-0000-0100-000003000000}" name="Value" dataDxfId="2"/>
    <tableColumn id="4" xr3:uid="{00000000-0010-0000-0100-000004000000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windowProtection="1" tabSelected="1" zoomScaleNormal="100" workbookViewId="0">
      <selection activeCell="C3" sqref="C3"/>
    </sheetView>
  </sheetViews>
  <sheetFormatPr defaultColWidth="11.42578125" defaultRowHeight="15" x14ac:dyDescent="0.25"/>
  <cols>
    <col min="1" max="1" width="20.140625" style="15" customWidth="1"/>
    <col min="2" max="2" width="10.7109375" bestFit="1" customWidth="1"/>
    <col min="3" max="3" width="9.28515625" style="3" bestFit="1" customWidth="1"/>
    <col min="4" max="4" width="7.140625" bestFit="1" customWidth="1"/>
    <col min="5" max="5" width="26.5703125" style="15" customWidth="1"/>
    <col min="6" max="6" width="10.85546875" bestFit="1" customWidth="1"/>
    <col min="7" max="7" width="15.28515625" customWidth="1"/>
    <col min="8" max="8" width="19.140625" customWidth="1"/>
    <col min="9" max="9" width="7.140625" bestFit="1" customWidth="1"/>
  </cols>
  <sheetData>
    <row r="1" spans="1:9" x14ac:dyDescent="0.25">
      <c r="A1" s="15" t="s">
        <v>31</v>
      </c>
      <c r="B1" t="s">
        <v>27</v>
      </c>
      <c r="C1" s="3" t="s">
        <v>25</v>
      </c>
      <c r="D1" t="s">
        <v>26</v>
      </c>
      <c r="E1" s="15" t="s">
        <v>34</v>
      </c>
      <c r="F1" t="s">
        <v>32</v>
      </c>
      <c r="G1" t="s">
        <v>27</v>
      </c>
      <c r="H1" s="3" t="s">
        <v>25</v>
      </c>
      <c r="I1" t="s">
        <v>26</v>
      </c>
    </row>
    <row r="2" spans="1:9" ht="31.5" x14ac:dyDescent="0.35">
      <c r="A2" s="15" t="s">
        <v>28</v>
      </c>
      <c r="B2" t="s">
        <v>22</v>
      </c>
      <c r="C2" s="8">
        <v>-332</v>
      </c>
      <c r="D2" t="s">
        <v>6</v>
      </c>
      <c r="E2" s="15" t="s">
        <v>38</v>
      </c>
      <c r="F2" t="s">
        <v>29</v>
      </c>
      <c r="G2" s="4" t="s">
        <v>15</v>
      </c>
      <c r="H2" s="1">
        <f>ATAN(R_/X_)</f>
        <v>0.31837206134331653</v>
      </c>
      <c r="I2" t="s">
        <v>11</v>
      </c>
    </row>
    <row r="3" spans="1:9" ht="31.5" x14ac:dyDescent="0.35">
      <c r="A3" s="15" t="s">
        <v>28</v>
      </c>
      <c r="B3" t="s">
        <v>23</v>
      </c>
      <c r="C3" s="8">
        <v>-78</v>
      </c>
      <c r="D3" t="s">
        <v>7</v>
      </c>
      <c r="E3" s="15" t="s">
        <v>38</v>
      </c>
      <c r="F3" t="s">
        <v>29</v>
      </c>
      <c r="G3" t="s">
        <v>2</v>
      </c>
      <c r="H3" s="1">
        <f>1/SQRT(R_*R_+X_*X_)</f>
        <v>7.460693284338317E-2</v>
      </c>
      <c r="I3" t="s">
        <v>12</v>
      </c>
    </row>
    <row r="4" spans="1:9" ht="45" x14ac:dyDescent="0.25">
      <c r="A4" s="15" t="s">
        <v>36</v>
      </c>
      <c r="B4" t="s">
        <v>0</v>
      </c>
      <c r="C4" s="10">
        <v>4.1955999999999998</v>
      </c>
      <c r="D4" s="2" t="s">
        <v>8</v>
      </c>
      <c r="F4" t="s">
        <v>33</v>
      </c>
      <c r="G4" t="s">
        <v>3</v>
      </c>
      <c r="H4" s="1">
        <f>4*H3*H3</f>
        <v>2.2264777713188345E-2</v>
      </c>
    </row>
    <row r="5" spans="1:9" ht="45" x14ac:dyDescent="0.25">
      <c r="A5" s="15" t="s">
        <v>36</v>
      </c>
      <c r="B5" t="s">
        <v>1</v>
      </c>
      <c r="C5" s="11">
        <v>12.73</v>
      </c>
      <c r="D5" s="2" t="s">
        <v>8</v>
      </c>
      <c r="F5" t="s">
        <v>33</v>
      </c>
      <c r="G5" t="s">
        <v>4</v>
      </c>
      <c r="H5" s="1">
        <f>-4*H3*(C2*SIN(H2)+C3*COS(H2))-C8*C8*H3*H3*(1+(1/C6)*(1/C6)+2*(1/C6)*COS(-C7*PI()/180))</f>
        <v>-3461.6000003153213</v>
      </c>
    </row>
    <row r="6" spans="1:9" ht="18" x14ac:dyDescent="0.35">
      <c r="A6" s="15" t="s">
        <v>35</v>
      </c>
      <c r="B6" t="s">
        <v>16</v>
      </c>
      <c r="C6" s="10">
        <f>0.997829</f>
        <v>0.99782899999999997</v>
      </c>
      <c r="D6" s="2" t="s">
        <v>24</v>
      </c>
      <c r="F6" t="s">
        <v>33</v>
      </c>
      <c r="G6" t="s">
        <v>5</v>
      </c>
      <c r="H6" s="7">
        <f>C2*C2+C3*C3</f>
        <v>116308</v>
      </c>
    </row>
    <row r="7" spans="1:9" ht="18" x14ac:dyDescent="0.35">
      <c r="A7" s="15" t="s">
        <v>35</v>
      </c>
      <c r="B7" t="s">
        <v>17</v>
      </c>
      <c r="C7" s="9">
        <v>-3.7760500000000001</v>
      </c>
      <c r="D7" t="s">
        <v>9</v>
      </c>
      <c r="F7" t="s">
        <v>33</v>
      </c>
      <c r="G7" t="s">
        <v>13</v>
      </c>
      <c r="H7" s="1">
        <f>(1/C6)*SIN(C7*PI()/180)</f>
        <v>-6.6000093469446894E-2</v>
      </c>
    </row>
    <row r="8" spans="1:9" ht="18" x14ac:dyDescent="0.35">
      <c r="A8" s="15" t="s">
        <v>30</v>
      </c>
      <c r="B8" t="s">
        <v>19</v>
      </c>
      <c r="C8" s="8">
        <v>397.1</v>
      </c>
      <c r="D8" t="s">
        <v>10</v>
      </c>
      <c r="F8" t="s">
        <v>33</v>
      </c>
      <c r="G8" t="s">
        <v>14</v>
      </c>
      <c r="H8" s="1">
        <f>1+(1/C6)*COS(C7*PI()/180)</f>
        <v>2.0000000842130827</v>
      </c>
    </row>
    <row r="9" spans="1:9" ht="19.5" x14ac:dyDescent="0.35">
      <c r="A9" s="15" t="s">
        <v>30</v>
      </c>
      <c r="B9" t="s">
        <v>18</v>
      </c>
      <c r="C9" s="8">
        <v>0</v>
      </c>
      <c r="D9" t="s">
        <v>9</v>
      </c>
      <c r="F9" t="s">
        <v>28</v>
      </c>
      <c r="G9" s="6" t="s">
        <v>20</v>
      </c>
      <c r="H9" s="5">
        <f>SQRT((-H5+SQRT(H5*H5-4*H4*H6))/(2*H4))</f>
        <v>394.25963588532608</v>
      </c>
      <c r="I9" s="6" t="s">
        <v>10</v>
      </c>
    </row>
    <row r="10" spans="1:9" ht="19.5" x14ac:dyDescent="0.35">
      <c r="F10" t="s">
        <v>28</v>
      </c>
      <c r="G10" s="6" t="s">
        <v>21</v>
      </c>
      <c r="H10" s="5">
        <f>(H2-ATAN(H7/H8)+ASIN((C2-2*H9*H9*H3*SIN(H2))/(C8*H9*H3*SQRT(H7*H7+H8*H8))))*180/PI()</f>
        <v>1.1769781183494545</v>
      </c>
      <c r="I10" s="6" t="s">
        <v>9</v>
      </c>
    </row>
    <row r="15" spans="1:9" ht="45" customHeight="1" x14ac:dyDescent="0.25">
      <c r="A15" s="16" t="s">
        <v>37</v>
      </c>
      <c r="B15" s="16"/>
      <c r="C15" s="16"/>
      <c r="D15" s="16"/>
      <c r="E15" s="16"/>
    </row>
    <row r="16" spans="1:9" x14ac:dyDescent="0.25">
      <c r="C16" s="13"/>
    </row>
    <row r="17" spans="3:3" x14ac:dyDescent="0.25">
      <c r="C17" s="14"/>
    </row>
    <row r="18" spans="3:3" x14ac:dyDescent="0.25">
      <c r="C18" s="12"/>
    </row>
    <row r="19" spans="3:3" x14ac:dyDescent="0.25">
      <c r="C19" s="12"/>
    </row>
  </sheetData>
  <mergeCells count="1">
    <mergeCell ref="A15:E15"/>
  </mergeCells>
  <pageMargins left="0.7" right="0.7" top="0.75" bottom="0.75" header="0.3" footer="0.3"/>
  <pageSetup paperSize="9" fitToHeight="0"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EC50E6-0B58-4550-A321-5038C45D5B82}"/>
</file>

<file path=customXml/itemProps2.xml><?xml version="1.0" encoding="utf-8"?>
<ds:datastoreItem xmlns:ds="http://schemas.openxmlformats.org/officeDocument/2006/customXml" ds:itemID="{69EF3580-8BD7-4394-A47B-80D0985E3CC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</vt:lpstr>
      <vt:lpstr>Alphaj2</vt:lpstr>
      <vt:lpstr>Pi</vt:lpstr>
      <vt:lpstr>Sheet!Print_Area</vt:lpstr>
      <vt:lpstr>Qi</vt:lpstr>
      <vt:lpstr>R_</vt:lpstr>
      <vt:lpstr>Rhoj2</vt:lpstr>
      <vt:lpstr>Thetaj</vt:lpstr>
      <vt:lpstr>Uj</vt:lpstr>
      <vt:lpstr>X_</vt:lpstr>
    </vt:vector>
  </TitlesOfParts>
  <Company>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 Youssef</dc:creator>
  <cp:lastModifiedBy>Chavdar</cp:lastModifiedBy>
  <dcterms:created xsi:type="dcterms:W3CDTF">2014-11-13T14:38:17Z</dcterms:created>
  <dcterms:modified xsi:type="dcterms:W3CDTF">2021-10-14T10:07:12Z</dcterms:modified>
</cp:coreProperties>
</file>